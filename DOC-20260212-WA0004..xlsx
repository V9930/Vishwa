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7BF31CE3-A277-C048-A258-8F434F9769D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19" i="1"/>
  <c r="I23" i="1"/>
  <c r="I21" i="1"/>
  <c r="E26" i="1"/>
  <c r="E24" i="1"/>
  <c r="E23" i="1"/>
  <c r="E21" i="1"/>
  <c r="E20" i="1"/>
  <c r="E18" i="1"/>
  <c r="E17" i="1"/>
  <c r="H26" i="1"/>
  <c r="H25" i="1"/>
  <c r="H24" i="1"/>
  <c r="H23" i="1"/>
  <c r="H22" i="1"/>
  <c r="H21" i="1"/>
  <c r="H20" i="1"/>
  <c r="H19" i="1"/>
  <c r="H17" i="1"/>
  <c r="H18" i="1"/>
</calcChain>
</file>

<file path=xl/sharedStrings.xml><?xml version="1.0" encoding="utf-8"?>
<sst xmlns="http://schemas.openxmlformats.org/spreadsheetml/2006/main" count="90" uniqueCount="49">
  <si>
    <t>Customer id</t>
  </si>
  <si>
    <t xml:space="preserve">Name </t>
  </si>
  <si>
    <t>Age</t>
  </si>
  <si>
    <t xml:space="preserve">Gender </t>
  </si>
  <si>
    <t>Appointment Date</t>
  </si>
  <si>
    <t>City</t>
  </si>
  <si>
    <t xml:space="preserve">Rahul Sharma </t>
  </si>
  <si>
    <t>Vishwa Desai</t>
  </si>
  <si>
    <t>Priya patel</t>
  </si>
  <si>
    <t xml:space="preserve">Neha Varma </t>
  </si>
  <si>
    <t>Raj Mehta</t>
  </si>
  <si>
    <t>Kiara Advani</t>
  </si>
  <si>
    <t>Anjali Joshi</t>
  </si>
  <si>
    <t>Shreya patel</t>
  </si>
  <si>
    <t>Sneha Singh</t>
  </si>
  <si>
    <t>Male</t>
  </si>
  <si>
    <t>F</t>
  </si>
  <si>
    <t xml:space="preserve">Female </t>
  </si>
  <si>
    <t>M</t>
  </si>
  <si>
    <t>female</t>
  </si>
  <si>
    <t>male</t>
  </si>
  <si>
    <t>march 22-2026</t>
  </si>
  <si>
    <t>August 26,2026</t>
  </si>
  <si>
    <t>December 16,2026</t>
  </si>
  <si>
    <t xml:space="preserve">    Mumbai </t>
  </si>
  <si>
    <t xml:space="preserve">     Mumbai </t>
  </si>
  <si>
    <t xml:space="preserve">Delhi </t>
  </si>
  <si>
    <t>Surat</t>
  </si>
  <si>
    <t xml:space="preserve">Pune       </t>
  </si>
  <si>
    <t xml:space="preserve">Kolkata   </t>
  </si>
  <si>
    <t>Delhi</t>
  </si>
  <si>
    <t xml:space="preserve">Chennai </t>
  </si>
  <si>
    <t xml:space="preserve">Bangalore   </t>
  </si>
  <si>
    <t>Pune</t>
  </si>
  <si>
    <t xml:space="preserve">Payment </t>
  </si>
  <si>
    <t>Case</t>
  </si>
  <si>
    <t>Card</t>
  </si>
  <si>
    <t xml:space="preserve">UPI </t>
  </si>
  <si>
    <t>card</t>
  </si>
  <si>
    <t>case</t>
  </si>
  <si>
    <t>upi</t>
  </si>
  <si>
    <t>Upi</t>
  </si>
  <si>
    <t>Amount paid</t>
  </si>
  <si>
    <t>Raw data</t>
  </si>
  <si>
    <t>Missing Age</t>
  </si>
  <si>
    <t xml:space="preserve">Task </t>
  </si>
  <si>
    <t>Remove extra space</t>
  </si>
  <si>
    <t xml:space="preserve">Standardize Gender 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</si>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</sst>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09]mmmm\ dd\,\ yyyy;@"/>
    <numFmt numFmtId="165" formatCode="[$-14009]dd/mm/yy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91AD-EC23-184A-B1D1-57697F3CD083}">
  <dimension ref="A1:J32"/>
  <sheetViews>
    <sheetView tabSelected="1" topLeftCell="D1" zoomScaleNormal="60" zoomScaleSheetLayoutView="100" workbookViewId="0">
      <selection activeCell="E22" sqref="E22"/>
    </sheetView>
  </sheetViews>
  <sheetFormatPr defaultRowHeight="15" x14ac:dyDescent="0.2"/>
  <cols>
    <col min="1" max="1" width="12.10546875" customWidth="1"/>
    <col min="2" max="2" width="13.85546875" customWidth="1"/>
    <col min="4" max="4" width="10.625" customWidth="1"/>
    <col min="5" max="5" width="20.3125" customWidth="1"/>
    <col min="6" max="6" width="16.54296875" customWidth="1"/>
    <col min="7" max="7" width="9.81640625" customWidth="1"/>
    <col min="8" max="8" width="18.29296875" customWidth="1"/>
    <col min="10" max="10" width="11.1640625" customWidth="1"/>
  </cols>
  <sheetData>
    <row r="1" spans="1:10" x14ac:dyDescent="0.2">
      <c r="A1" t="s">
        <v>43</v>
      </c>
    </row>
    <row r="3" spans="1:10" x14ac:dyDescent="0.2">
      <c r="A3" t="s">
        <v>0</v>
      </c>
      <c r="B3" t="s">
        <v>1</v>
      </c>
      <c r="C3" t="s">
        <v>2</v>
      </c>
      <c r="D3" t="s">
        <v>44</v>
      </c>
      <c r="E3" t="s">
        <v>3</v>
      </c>
      <c r="F3" t="s">
        <v>4</v>
      </c>
      <c r="G3" t="s">
        <v>5</v>
      </c>
      <c r="I3" t="s">
        <v>34</v>
      </c>
      <c r="J3" t="s">
        <v>42</v>
      </c>
    </row>
    <row r="4" spans="1:10" x14ac:dyDescent="0.2">
      <c r="A4">
        <v>101</v>
      </c>
      <c r="B4" t="s">
        <v>6</v>
      </c>
      <c r="C4">
        <v>25</v>
      </c>
      <c r="E4" t="s">
        <v>15</v>
      </c>
      <c r="F4" s="1">
        <v>46034</v>
      </c>
      <c r="G4" t="s">
        <v>24</v>
      </c>
      <c r="I4" t="s">
        <v>35</v>
      </c>
      <c r="J4">
        <v>700</v>
      </c>
    </row>
    <row r="5" spans="1:10" x14ac:dyDescent="0.2">
      <c r="A5">
        <v>102</v>
      </c>
      <c r="B5" t="s">
        <v>7</v>
      </c>
      <c r="C5">
        <v>27</v>
      </c>
      <c r="E5" t="s">
        <v>16</v>
      </c>
      <c r="F5" s="1">
        <v>46037</v>
      </c>
      <c r="G5" t="s">
        <v>26</v>
      </c>
      <c r="I5" t="s">
        <v>36</v>
      </c>
      <c r="J5">
        <v>1000</v>
      </c>
    </row>
    <row r="6" spans="1:10" x14ac:dyDescent="0.2">
      <c r="A6">
        <v>103</v>
      </c>
      <c r="B6" t="s">
        <v>8</v>
      </c>
      <c r="E6" t="s">
        <v>17</v>
      </c>
      <c r="F6" s="1">
        <v>46068</v>
      </c>
      <c r="G6" t="s">
        <v>27</v>
      </c>
      <c r="I6" t="s">
        <v>37</v>
      </c>
      <c r="J6">
        <v>600</v>
      </c>
    </row>
    <row r="7" spans="1:10" x14ac:dyDescent="0.2">
      <c r="A7">
        <v>104</v>
      </c>
      <c r="B7" t="s">
        <v>9</v>
      </c>
      <c r="C7">
        <v>28</v>
      </c>
      <c r="E7" t="s">
        <v>16</v>
      </c>
      <c r="F7" s="2">
        <v>46195</v>
      </c>
      <c r="G7" t="s">
        <v>28</v>
      </c>
      <c r="I7" t="s">
        <v>38</v>
      </c>
    </row>
    <row r="8" spans="1:10" x14ac:dyDescent="0.2">
      <c r="A8">
        <v>105</v>
      </c>
      <c r="B8" t="s">
        <v>10</v>
      </c>
      <c r="C8">
        <v>32</v>
      </c>
      <c r="E8" t="s">
        <v>18</v>
      </c>
      <c r="F8" t="s">
        <v>21</v>
      </c>
      <c r="G8" t="s">
        <v>29</v>
      </c>
      <c r="I8" t="s">
        <v>39</v>
      </c>
      <c r="J8">
        <v>500</v>
      </c>
    </row>
    <row r="9" spans="1:10" x14ac:dyDescent="0.2">
      <c r="A9">
        <v>101</v>
      </c>
      <c r="B9" t="s">
        <v>6</v>
      </c>
      <c r="C9">
        <v>25</v>
      </c>
      <c r="E9" t="s">
        <v>15</v>
      </c>
      <c r="F9" s="1">
        <v>46034</v>
      </c>
      <c r="G9" t="s">
        <v>25</v>
      </c>
      <c r="I9" t="s">
        <v>35</v>
      </c>
      <c r="J9">
        <v>700</v>
      </c>
    </row>
    <row r="10" spans="1:10" x14ac:dyDescent="0.2">
      <c r="A10">
        <v>107</v>
      </c>
      <c r="B10" t="s">
        <v>11</v>
      </c>
      <c r="E10" t="s">
        <v>19</v>
      </c>
      <c r="F10" s="1">
        <v>46110</v>
      </c>
      <c r="G10" t="s">
        <v>30</v>
      </c>
      <c r="I10" t="s">
        <v>40</v>
      </c>
      <c r="J10">
        <v>850</v>
      </c>
    </row>
    <row r="11" spans="1:10" x14ac:dyDescent="0.2">
      <c r="A11">
        <v>108</v>
      </c>
      <c r="B11" t="s">
        <v>12</v>
      </c>
      <c r="C11">
        <v>30</v>
      </c>
      <c r="E11" t="s">
        <v>16</v>
      </c>
      <c r="F11" t="s">
        <v>22</v>
      </c>
      <c r="G11" t="s">
        <v>31</v>
      </c>
      <c r="I11" t="s">
        <v>35</v>
      </c>
    </row>
    <row r="12" spans="1:10" x14ac:dyDescent="0.2">
      <c r="A12">
        <v>109</v>
      </c>
      <c r="B12" t="s">
        <v>13</v>
      </c>
      <c r="C12">
        <v>20</v>
      </c>
      <c r="E12" t="s">
        <v>17</v>
      </c>
      <c r="F12" t="s">
        <v>23</v>
      </c>
      <c r="G12" t="s">
        <v>32</v>
      </c>
      <c r="I12" t="s">
        <v>41</v>
      </c>
      <c r="J12">
        <v>3000</v>
      </c>
    </row>
    <row r="13" spans="1:10" x14ac:dyDescent="0.2">
      <c r="A13">
        <v>110</v>
      </c>
      <c r="B13" t="s">
        <v>14</v>
      </c>
      <c r="C13">
        <v>31</v>
      </c>
      <c r="E13" t="s">
        <v>20</v>
      </c>
      <c r="F13" s="1">
        <v>46362</v>
      </c>
      <c r="G13" t="s">
        <v>33</v>
      </c>
      <c r="I13" t="s">
        <v>35</v>
      </c>
      <c r="J13">
        <v>650</v>
      </c>
    </row>
    <row r="15" spans="1:10" x14ac:dyDescent="0.2">
      <c r="A15" t="s">
        <v>45</v>
      </c>
    </row>
    <row r="16" spans="1:10" x14ac:dyDescent="0.2">
      <c r="A16" t="s">
        <v>0</v>
      </c>
      <c r="B16" t="s">
        <v>1</v>
      </c>
      <c r="E16" t="s">
        <v>47</v>
      </c>
      <c r="G16" t="s">
        <v>5</v>
      </c>
      <c r="H16" t="s">
        <v>46</v>
      </c>
      <c r="I16" t="s">
        <v>34</v>
      </c>
    </row>
    <row r="17" spans="1:9" x14ac:dyDescent="0.2">
      <c r="A17">
        <v>101</v>
      </c>
      <c r="B17" t="s">
        <v>6</v>
      </c>
      <c r="E17" t="str">
        <f>IF(OR(LOWER(E4)="male",LOWER(E4)="m",),"Male")</f>
        <v>Male</v>
      </c>
      <c r="F17" s="3"/>
      <c r="G17" t="s">
        <v>24</v>
      </c>
      <c r="H17" t="str">
        <f>TRIM(G17)</f>
        <v>Mumbai</v>
      </c>
      <c r="I17" t="s">
        <v>35</v>
      </c>
    </row>
    <row r="18" spans="1:9" x14ac:dyDescent="0.2">
      <c r="A18">
        <v>102</v>
      </c>
      <c r="B18" t="s">
        <v>7</v>
      </c>
      <c r="E18" t="str">
        <f>IF(OR(LOWER(E5)="Female ",LOWER(E5)="f"),"Female")</f>
        <v>Female</v>
      </c>
      <c r="F18" s="3"/>
      <c r="G18" t="s">
        <v>26</v>
      </c>
      <c r="H18" t="str">
        <f>TRIM(G18)</f>
        <v>Delhi</v>
      </c>
      <c r="I18" t="s">
        <v>36</v>
      </c>
    </row>
    <row r="19" spans="1:9" x14ac:dyDescent="0.2">
      <c r="A19">
        <v>103</v>
      </c>
      <c r="B19" t="s">
        <v>8</v>
      </c>
      <c r="E19" t="s">
        <v>17</v>
      </c>
      <c r="F19" s="3"/>
      <c r="G19" t="s">
        <v>27</v>
      </c>
      <c r="H19" t="str">
        <f>TRIM(G19)</f>
        <v>Surat</v>
      </c>
      <c r="I19" t="str">
        <f>PROPER(I6)</f>
        <v xml:space="preserve">Upi </v>
      </c>
    </row>
    <row r="20" spans="1:9" x14ac:dyDescent="0.2">
      <c r="A20">
        <v>104</v>
      </c>
      <c r="B20" t="s">
        <v>9</v>
      </c>
      <c r="E20" t="str">
        <f>IF(OR(LOWER(E7)="Female",LOWER(E7)="f"),"Female")</f>
        <v>Female</v>
      </c>
      <c r="F20" s="3"/>
      <c r="G20" t="s">
        <v>28</v>
      </c>
      <c r="H20" t="str">
        <f>TRIM(G20)</f>
        <v>Pune</v>
      </c>
      <c r="I20" t="str">
        <f>PROPER(I7)</f>
        <v>Card</v>
      </c>
    </row>
    <row r="21" spans="1:9" x14ac:dyDescent="0.2">
      <c r="A21">
        <v>105</v>
      </c>
      <c r="B21" t="s">
        <v>10</v>
      </c>
      <c r="E21" t="str">
        <f>IF(OR(LOWER(E8)="male",LOWER(E8)="M"),"Male")</f>
        <v>Male</v>
      </c>
      <c r="F21" s="3"/>
      <c r="G21" t="s">
        <v>29</v>
      </c>
      <c r="H21" t="str">
        <f>TRIM(G21)</f>
        <v>Kolkata</v>
      </c>
      <c r="I21" t="str">
        <f>PROPER(I8)</f>
        <v>Case</v>
      </c>
    </row>
    <row r="22" spans="1:9" x14ac:dyDescent="0.2">
      <c r="A22">
        <v>101</v>
      </c>
      <c r="B22" t="s">
        <v>6</v>
      </c>
      <c r="E22" t="s">
        <v>15</v>
      </c>
      <c r="F22" s="3"/>
      <c r="G22" t="s">
        <v>25</v>
      </c>
      <c r="H22" t="str">
        <f>TRIM(G22)</f>
        <v>Mumbai</v>
      </c>
      <c r="I22" t="s">
        <v>35</v>
      </c>
    </row>
    <row r="23" spans="1:9" x14ac:dyDescent="0.2">
      <c r="A23">
        <v>107</v>
      </c>
      <c r="B23" t="s">
        <v>11</v>
      </c>
      <c r="E23" t="str">
        <f>IF(OR(LOWER(E10)="female",LOWER(E10)="f"),"Female")</f>
        <v>Female</v>
      </c>
      <c r="F23" s="3"/>
      <c r="G23" t="s">
        <v>30</v>
      </c>
      <c r="H23" t="str">
        <f>TRIM(G23)</f>
        <v>Delhi</v>
      </c>
      <c r="I23" t="str">
        <f>PROPER(I10)</f>
        <v>Upi</v>
      </c>
    </row>
    <row r="24" spans="1:9" x14ac:dyDescent="0.2">
      <c r="A24">
        <v>108</v>
      </c>
      <c r="B24" t="s">
        <v>12</v>
      </c>
      <c r="E24" t="str">
        <f>IF(OR(LOWER(E11)="female",LOWER(E11)="F"),"Female")</f>
        <v>Female</v>
      </c>
      <c r="F24" s="3"/>
      <c r="G24" t="s">
        <v>31</v>
      </c>
      <c r="H24" t="str">
        <f>TRIM(G24)</f>
        <v>Chennai</v>
      </c>
      <c r="I24" t="s">
        <v>35</v>
      </c>
    </row>
    <row r="25" spans="1:9" x14ac:dyDescent="0.2">
      <c r="A25">
        <v>109</v>
      </c>
      <c r="B25" t="s">
        <v>13</v>
      </c>
      <c r="E25" t="s">
        <v>17</v>
      </c>
      <c r="F25" s="3"/>
      <c r="G25" t="s">
        <v>32</v>
      </c>
      <c r="H25" t="str">
        <f>TRIM(G25)</f>
        <v>Bangalore</v>
      </c>
      <c r="I25" t="s">
        <v>41</v>
      </c>
    </row>
    <row r="26" spans="1:9" x14ac:dyDescent="0.2">
      <c r="A26">
        <v>110</v>
      </c>
      <c r="B26" t="s">
        <v>14</v>
      </c>
      <c r="E26" t="str">
        <f>IF(OR(LOWER(E13)="male",LOWER(E13)="m"),"Male")</f>
        <v>Male</v>
      </c>
      <c r="F26" s="3"/>
      <c r="G26" t="s">
        <v>33</v>
      </c>
      <c r="H26" t="str">
        <f>TRIM(G26)</f>
        <v>Pune</v>
      </c>
      <c r="I26" t="s">
        <v>35</v>
      </c>
    </row>
    <row r="32" spans="1:9" x14ac:dyDescent="0.2">
      <c r="H3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011E5-0C96-3E41-9F91-88BAD288D6C7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desai</dc:creator>
  <dcterms:created xsi:type="dcterms:W3CDTF">2026-02-12T10:25:40Z</dcterms:created>
</cp:coreProperties>
</file>